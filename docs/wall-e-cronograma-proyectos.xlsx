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fre\Documents\Wall-e\docs\"/>
    </mc:Choice>
  </mc:AlternateContent>
  <xr:revisionPtr revIDLastSave="0" documentId="13_ncr:1_{44C5A508-9ED4-423E-BC33-E3492E645C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onog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29" i="1"/>
  <c r="G28" i="1"/>
  <c r="G27" i="1"/>
  <c r="G25" i="1"/>
  <c r="G24" i="1"/>
  <c r="G23" i="1"/>
  <c r="G21" i="1"/>
  <c r="G20" i="1"/>
  <c r="G19" i="1"/>
  <c r="G17" i="1"/>
  <c r="G16" i="1"/>
  <c r="G14" i="1"/>
  <c r="G13" i="1"/>
  <c r="G12" i="1"/>
  <c r="D6" i="1"/>
  <c r="F6" i="1" s="1"/>
  <c r="B6" i="1"/>
</calcChain>
</file>

<file path=xl/sharedStrings.xml><?xml version="1.0" encoding="utf-8"?>
<sst xmlns="http://schemas.openxmlformats.org/spreadsheetml/2006/main" count="110" uniqueCount="82">
  <si>
    <t>Materia: Inteligencia Artificial (TESH) | Alumnos: Maly Farías López &amp; Alfredo Juarez Espinoza</t>
  </si>
  <si>
    <t>Generado: 12-Agosto-2026 | v1.1</t>
  </si>
  <si>
    <t>PANEL DE SEGUIMIENTO Y PROGRESO DEL PROYECTO</t>
  </si>
  <si>
    <t>Total Actividades:</t>
  </si>
  <si>
    <t>Completadas:</t>
  </si>
  <si>
    <t>Progreso Real:</t>
  </si>
  <si>
    <t>Fecha Límite:</t>
  </si>
  <si>
    <t>ID</t>
  </si>
  <si>
    <t>Actividad / Tarea</t>
  </si>
  <si>
    <t>Responsable</t>
  </si>
  <si>
    <t>Fecha Inicio</t>
  </si>
  <si>
    <t>Fecha Fin</t>
  </si>
  <si>
    <t>Estado</t>
  </si>
  <si>
    <t>Duración</t>
  </si>
  <si>
    <t>Entregable / Nota Técnica</t>
  </si>
  <si>
    <t>DISEÑO CONCEPTUAL Y TEÓRICO (21/07/2026 - 24/07/2026)</t>
  </si>
  <si>
    <t>1.1</t>
  </si>
  <si>
    <t>Definición del propósito pedagógico (Gualí como mediador de lectura)</t>
  </si>
  <si>
    <t>Maly</t>
  </si>
  <si>
    <t>Completado</t>
  </si>
  <si>
    <t>Estudio de desconexión de pantallas</t>
  </si>
  <si>
    <t>1.2</t>
  </si>
  <si>
    <t>Estudio y especificación técnica de tecnología RFID/NFC</t>
  </si>
  <si>
    <t>Ambos</t>
  </si>
  <si>
    <t>Frecuencia de 13.56 MHz, PN532</t>
  </si>
  <si>
    <t>1.3</t>
  </si>
  <si>
    <t>Diseño de bosquejos y adaptaciones del chasis de Wall-E</t>
  </si>
  <si>
    <t>Alfredo</t>
  </si>
  <si>
    <t>Proporciones y ergonomía del robot</t>
  </si>
  <si>
    <t>CONSTRUCCIÓN FÍSICA Y DISEÑO DEL CHASIS (25/07/2026 - 28/07/2026)</t>
  </si>
  <si>
    <t>2.1</t>
  </si>
  <si>
    <t>Carpintería y ensamblaje del cuerpo (Madera personalizada)</t>
  </si>
  <si>
    <t>Material no ferroso para evitar corrientes de Foucault</t>
  </si>
  <si>
    <t>2.2</t>
  </si>
  <si>
    <t>Montaje del lector RFID en la mano y la pantalla LCD en el pecho</t>
  </si>
  <si>
    <t>Sintonización libre de interferencias electromagnéticas (EMI)</t>
  </si>
  <si>
    <t>ARQUITECTURA DE CONTROL LOCAL (29/07/2026 - 02/08/2026)</t>
  </si>
  <si>
    <t>3.1</t>
  </si>
  <si>
    <t>Cableado de sensores e integración con Arduino Mega 2560</t>
  </si>
  <si>
    <t>Conexiones seriales estables</t>
  </si>
  <si>
    <t>3.2</t>
  </si>
  <si>
    <t>Programación de la interfaz Wall-E OS (Python con Tkinter)</t>
  </si>
  <si>
    <t>Ventana de escritorio interactiva de préstamo</t>
  </si>
  <si>
    <t>3.3</t>
  </si>
  <si>
    <t>Implementación de BD MySQL y biblioteca libvalidacion.dll en C++</t>
  </si>
  <si>
    <t>Compilación de código de bajo nivel para seguridad</t>
  </si>
  <si>
    <t>ARQUITECTURA IOT DISTRIBUIDA (03/08/2026 - 07/08/2026)</t>
  </si>
  <si>
    <t>4.1</t>
  </si>
  <si>
    <t>Migración de la lógica de red y Wi-Fi al ESP32 DevKit V1</t>
  </si>
  <si>
    <t>Servidor asíncrono y configuración mDNS guali.local</t>
  </si>
  <si>
    <t>4.2</t>
  </si>
  <si>
    <t>Integración de Arduino Nano como coprocesador para telemetría</t>
  </si>
  <si>
    <t>Control de servos SG90, ultrasonido HC-SR04 y sonido</t>
  </si>
  <si>
    <t>4.3</t>
  </si>
  <si>
    <t>Configuración y puesta en marcha del servidor web Django</t>
  </si>
  <si>
    <t>Sincronización inalámbrica en base de datos centralizada</t>
  </si>
  <si>
    <t>OPTIMIZACIÓN DE SOFTWARE Y FIRMWARE (08/08/2026 - 11/08/2026)</t>
  </si>
  <si>
    <t>5.1</t>
  </si>
  <si>
    <t>Reescritura de firmware no bloqueante mediante millis()</t>
  </si>
  <si>
    <t>Solución a caídas del stack TCP/IP causadas por delay()</t>
  </si>
  <si>
    <t>5.2</t>
  </si>
  <si>
    <t>Programación de conversión dual HEX y DEC para lecturas NFC</t>
  </si>
  <si>
    <t>Soporte de decimal por bytes y Wiegand de 32-bit</t>
  </si>
  <si>
    <t>5.3</t>
  </si>
  <si>
    <t>Desarrollo de consola de diagnóstico interactiva en Django</t>
  </si>
  <si>
    <t>Estilo terminal hacker, logs y destello verde neón</t>
  </si>
  <si>
    <t>PRUEBAS, INTEGRACIÓN Y DEFENSA (12/08/2026 - 16/08/2026)</t>
  </si>
  <si>
    <t>6.1</t>
  </si>
  <si>
    <t>Pruebas de estrés finales con credenciales de estudiantes y tags</t>
  </si>
  <si>
    <t>En Progreso</t>
  </si>
  <si>
    <t>Verificación de estabilidad de red</t>
  </si>
  <si>
    <t>6.2</t>
  </si>
  <si>
    <t>Unificación de la documentación técnica del proyecto</t>
  </si>
  <si>
    <t>Integración formal en wall-e-documentacion-completa.docx</t>
  </si>
  <si>
    <t>6.3</t>
  </si>
  <si>
    <t>Preparación final de la presentación de defensa ante docentes</t>
  </si>
  <si>
    <t>Por Empezar</t>
  </si>
  <si>
    <t>Alineación de objetivos y demostración del robot</t>
  </si>
  <si>
    <t>TOTAL</t>
  </si>
  <si>
    <t>Duración Total Real del Proyecto (Días Calendario transcurridos)</t>
  </si>
  <si>
    <t>Integración total del prototipo</t>
  </si>
  <si>
    <t>CRONOGRAMA DE ACTIVIDADES - PROYECTO WALL-E (ROBOT Walle)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</si>
</sst>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#,##0\ &quot;días&quot;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F497D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D6DCE4"/>
        <bgColor rgb="FFD6DCE4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4" fillId="4" borderId="1" xfId="0" applyFont="1" applyFill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166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0" fontId="2" fillId="7" borderId="2" xfId="0" applyFont="1" applyFill="1" applyBorder="1"/>
    <xf numFmtId="0" fontId="5" fillId="5" borderId="1" xfId="0" applyFont="1" applyFill="1" applyBorder="1" applyAlignment="1">
      <alignment vertical="center" indent="1"/>
    </xf>
    <xf numFmtId="0" fontId="0" fillId="0" borderId="1" xfId="0" applyBorder="1"/>
    <xf numFmtId="0" fontId="4" fillId="7" borderId="2" xfId="0" applyFont="1" applyFill="1" applyBorder="1" applyAlignment="1">
      <alignment horizontal="right"/>
    </xf>
    <xf numFmtId="0" fontId="0" fillId="7" borderId="2" xfId="0" applyFill="1" applyBorder="1"/>
    <xf numFmtId="0" fontId="3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b/>
        <sz val="11"/>
        <color rgb="FF006100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pane ySplit="10" topLeftCell="A11" activePane="bottomLeft" state="frozen"/>
      <selection pane="bottomLeft" activeCell="I13" sqref="I13"/>
    </sheetView>
  </sheetViews>
  <sheetFormatPr baseColWidth="10" defaultColWidth="8.88671875" defaultRowHeight="14.4"/>
  <cols>
    <col min="1" max="1" width="8" customWidth="1"/>
    <col min="2" max="2" width="62" customWidth="1"/>
    <col min="3" max="5" width="14" customWidth="1"/>
    <col min="6" max="6" width="16" customWidth="1"/>
    <col min="7" max="7" width="14" customWidth="1"/>
    <col min="8" max="8" width="58" customWidth="1"/>
  </cols>
  <sheetData>
    <row r="1" spans="1:8">
      <c r="A1" s="29" t="s">
        <v>81</v>
      </c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3" spans="1:8">
      <c r="A3" s="1" t="s">
        <v>0</v>
      </c>
      <c r="H3" s="2" t="s">
        <v>1</v>
      </c>
    </row>
    <row r="5" spans="1:8">
      <c r="A5" s="27" t="s">
        <v>2</v>
      </c>
      <c r="B5" s="28"/>
      <c r="C5" s="28"/>
      <c r="D5" s="28"/>
      <c r="E5" s="28"/>
      <c r="F5" s="28"/>
      <c r="G5" s="28"/>
      <c r="H5" s="28"/>
    </row>
    <row r="6" spans="1:8">
      <c r="A6" s="3" t="s">
        <v>3</v>
      </c>
      <c r="B6" s="4">
        <f>COUNTA(B11:B33)-6</f>
        <v>11</v>
      </c>
      <c r="C6" s="3" t="s">
        <v>4</v>
      </c>
      <c r="D6" s="4">
        <f>COUNTIF(F11:F33, "Completado")</f>
        <v>14</v>
      </c>
      <c r="E6" s="3" t="s">
        <v>5</v>
      </c>
      <c r="F6" s="5">
        <f>IFERROR(D6/B6, 0)</f>
        <v>1.2727272727272727</v>
      </c>
      <c r="G6" s="3" t="s">
        <v>6</v>
      </c>
      <c r="H6" s="6">
        <v>46250</v>
      </c>
    </row>
    <row r="8" spans="1:8" ht="15" customHeight="1"/>
    <row r="10" spans="1:8" ht="25.05" customHeight="1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</row>
    <row r="11" spans="1:8" ht="19.95" customHeight="1">
      <c r="A11" s="23" t="s">
        <v>15</v>
      </c>
      <c r="B11" s="24"/>
      <c r="C11" s="24"/>
      <c r="D11" s="24"/>
      <c r="E11" s="24"/>
      <c r="F11" s="24"/>
      <c r="G11" s="24"/>
      <c r="H11" s="24"/>
    </row>
    <row r="12" spans="1:8" ht="19.95" customHeight="1">
      <c r="A12" s="8" t="s">
        <v>16</v>
      </c>
      <c r="B12" s="9" t="s">
        <v>17</v>
      </c>
      <c r="C12" s="10" t="s">
        <v>18</v>
      </c>
      <c r="D12" s="11">
        <v>46224</v>
      </c>
      <c r="E12" s="11">
        <v>46225</v>
      </c>
      <c r="F12" s="8" t="s">
        <v>19</v>
      </c>
      <c r="G12" s="12">
        <f>E12-D12+1</f>
        <v>2</v>
      </c>
      <c r="H12" s="13" t="s">
        <v>20</v>
      </c>
    </row>
    <row r="13" spans="1:8" ht="19.95" customHeight="1">
      <c r="A13" s="14" t="s">
        <v>21</v>
      </c>
      <c r="B13" s="15" t="s">
        <v>22</v>
      </c>
      <c r="C13" s="16" t="s">
        <v>23</v>
      </c>
      <c r="D13" s="17">
        <v>46225</v>
      </c>
      <c r="E13" s="17">
        <v>46226</v>
      </c>
      <c r="F13" s="14" t="s">
        <v>19</v>
      </c>
      <c r="G13" s="18">
        <f>E13-D13+1</f>
        <v>2</v>
      </c>
      <c r="H13" s="19" t="s">
        <v>24</v>
      </c>
    </row>
    <row r="14" spans="1:8" ht="19.95" customHeight="1">
      <c r="A14" s="8" t="s">
        <v>25</v>
      </c>
      <c r="B14" s="9" t="s">
        <v>26</v>
      </c>
      <c r="C14" s="10" t="s">
        <v>27</v>
      </c>
      <c r="D14" s="11">
        <v>46226</v>
      </c>
      <c r="E14" s="11">
        <v>46227</v>
      </c>
      <c r="F14" s="8" t="s">
        <v>19</v>
      </c>
      <c r="G14" s="12">
        <f>E14-D14+1</f>
        <v>2</v>
      </c>
      <c r="H14" s="13" t="s">
        <v>28</v>
      </c>
    </row>
    <row r="15" spans="1:8" ht="19.95" customHeight="1">
      <c r="A15" s="23" t="s">
        <v>29</v>
      </c>
      <c r="B15" s="24"/>
      <c r="C15" s="24"/>
      <c r="D15" s="24"/>
      <c r="E15" s="24"/>
      <c r="F15" s="24"/>
      <c r="G15" s="24"/>
      <c r="H15" s="24"/>
    </row>
    <row r="16" spans="1:8" ht="19.95" customHeight="1">
      <c r="A16" s="8" t="s">
        <v>30</v>
      </c>
      <c r="B16" s="9" t="s">
        <v>31</v>
      </c>
      <c r="C16" s="10" t="s">
        <v>27</v>
      </c>
      <c r="D16" s="11">
        <v>46228</v>
      </c>
      <c r="E16" s="11">
        <v>46230</v>
      </c>
      <c r="F16" s="8" t="s">
        <v>19</v>
      </c>
      <c r="G16" s="12">
        <f>E16-D16+1</f>
        <v>3</v>
      </c>
      <c r="H16" s="13" t="s">
        <v>32</v>
      </c>
    </row>
    <row r="17" spans="1:8" ht="19.95" customHeight="1">
      <c r="A17" s="14" t="s">
        <v>33</v>
      </c>
      <c r="B17" s="15" t="s">
        <v>34</v>
      </c>
      <c r="C17" s="16" t="s">
        <v>23</v>
      </c>
      <c r="D17" s="17">
        <v>46230</v>
      </c>
      <c r="E17" s="17">
        <v>46231</v>
      </c>
      <c r="F17" s="14" t="s">
        <v>19</v>
      </c>
      <c r="G17" s="18">
        <f>E17-D17+1</f>
        <v>2</v>
      </c>
      <c r="H17" s="19" t="s">
        <v>35</v>
      </c>
    </row>
    <row r="18" spans="1:8" ht="19.95" customHeight="1">
      <c r="A18" s="23" t="s">
        <v>36</v>
      </c>
      <c r="B18" s="24"/>
      <c r="C18" s="24"/>
      <c r="D18" s="24"/>
      <c r="E18" s="24"/>
      <c r="F18" s="24"/>
      <c r="G18" s="24"/>
      <c r="H18" s="24"/>
    </row>
    <row r="19" spans="1:8" ht="19.95" customHeight="1">
      <c r="A19" s="14" t="s">
        <v>37</v>
      </c>
      <c r="B19" s="15" t="s">
        <v>38</v>
      </c>
      <c r="C19" s="16" t="s">
        <v>18</v>
      </c>
      <c r="D19" s="17">
        <v>46232</v>
      </c>
      <c r="E19" s="17">
        <v>46233</v>
      </c>
      <c r="F19" s="14" t="s">
        <v>19</v>
      </c>
      <c r="G19" s="18">
        <f>E19-D19+1</f>
        <v>2</v>
      </c>
      <c r="H19" s="19" t="s">
        <v>39</v>
      </c>
    </row>
    <row r="20" spans="1:8" ht="19.95" customHeight="1">
      <c r="A20" s="8" t="s">
        <v>40</v>
      </c>
      <c r="B20" s="9" t="s">
        <v>41</v>
      </c>
      <c r="C20" s="10" t="s">
        <v>23</v>
      </c>
      <c r="D20" s="11">
        <v>46234</v>
      </c>
      <c r="E20" s="11">
        <v>46235</v>
      </c>
      <c r="F20" s="8" t="s">
        <v>19</v>
      </c>
      <c r="G20" s="12">
        <f>E20-D20+1</f>
        <v>2</v>
      </c>
      <c r="H20" s="13" t="s">
        <v>42</v>
      </c>
    </row>
    <row r="21" spans="1:8" ht="19.95" customHeight="1">
      <c r="A21" s="14" t="s">
        <v>43</v>
      </c>
      <c r="B21" s="15" t="s">
        <v>44</v>
      </c>
      <c r="C21" s="16" t="s">
        <v>27</v>
      </c>
      <c r="D21" s="17">
        <v>46235</v>
      </c>
      <c r="E21" s="17">
        <v>46236</v>
      </c>
      <c r="F21" s="14" t="s">
        <v>19</v>
      </c>
      <c r="G21" s="18">
        <f>E21-D21+1</f>
        <v>2</v>
      </c>
      <c r="H21" s="19" t="s">
        <v>45</v>
      </c>
    </row>
    <row r="22" spans="1:8" ht="19.95" customHeight="1">
      <c r="A22" s="23" t="s">
        <v>46</v>
      </c>
      <c r="B22" s="24"/>
      <c r="C22" s="24"/>
      <c r="D22" s="24"/>
      <c r="E22" s="24"/>
      <c r="F22" s="24"/>
      <c r="G22" s="24"/>
      <c r="H22" s="24"/>
    </row>
    <row r="23" spans="1:8" ht="19.95" customHeight="1">
      <c r="A23" s="14" t="s">
        <v>47</v>
      </c>
      <c r="B23" s="15" t="s">
        <v>48</v>
      </c>
      <c r="C23" s="16" t="s">
        <v>18</v>
      </c>
      <c r="D23" s="17">
        <v>46237</v>
      </c>
      <c r="E23" s="17">
        <v>46238</v>
      </c>
      <c r="F23" s="14" t="s">
        <v>19</v>
      </c>
      <c r="G23" s="18">
        <f>E23-D23+1</f>
        <v>2</v>
      </c>
      <c r="H23" s="19" t="s">
        <v>49</v>
      </c>
    </row>
    <row r="24" spans="1:8" ht="19.95" customHeight="1">
      <c r="A24" s="8" t="s">
        <v>50</v>
      </c>
      <c r="B24" s="9" t="s">
        <v>51</v>
      </c>
      <c r="C24" s="10" t="s">
        <v>23</v>
      </c>
      <c r="D24" s="11">
        <v>46238</v>
      </c>
      <c r="E24" s="11">
        <v>46239</v>
      </c>
      <c r="F24" s="8" t="s">
        <v>19</v>
      </c>
      <c r="G24" s="12">
        <f>E24-D24+1</f>
        <v>2</v>
      </c>
      <c r="H24" s="13" t="s">
        <v>52</v>
      </c>
    </row>
    <row r="25" spans="1:8" ht="19.95" customHeight="1">
      <c r="A25" s="14" t="s">
        <v>53</v>
      </c>
      <c r="B25" s="15" t="s">
        <v>54</v>
      </c>
      <c r="C25" s="16" t="s">
        <v>27</v>
      </c>
      <c r="D25" s="17">
        <v>46239</v>
      </c>
      <c r="E25" s="17">
        <v>46241</v>
      </c>
      <c r="F25" s="14" t="s">
        <v>19</v>
      </c>
      <c r="G25" s="18">
        <f>E25-D25+1</f>
        <v>3</v>
      </c>
      <c r="H25" s="19" t="s">
        <v>55</v>
      </c>
    </row>
    <row r="26" spans="1:8" ht="19.95" customHeight="1">
      <c r="A26" s="23" t="s">
        <v>56</v>
      </c>
      <c r="B26" s="24"/>
      <c r="C26" s="24"/>
      <c r="D26" s="24"/>
      <c r="E26" s="24"/>
      <c r="F26" s="24"/>
      <c r="G26" s="24"/>
      <c r="H26" s="24"/>
    </row>
    <row r="27" spans="1:8" ht="19.95" customHeight="1">
      <c r="A27" s="14" t="s">
        <v>57</v>
      </c>
      <c r="B27" s="15" t="s">
        <v>58</v>
      </c>
      <c r="C27" s="16" t="s">
        <v>18</v>
      </c>
      <c r="D27" s="17">
        <v>46242</v>
      </c>
      <c r="E27" s="17">
        <v>46243</v>
      </c>
      <c r="F27" s="14" t="s">
        <v>19</v>
      </c>
      <c r="G27" s="18">
        <f>E27-D27+1</f>
        <v>2</v>
      </c>
      <c r="H27" s="19" t="s">
        <v>59</v>
      </c>
    </row>
    <row r="28" spans="1:8" ht="19.95" customHeight="1">
      <c r="A28" s="8" t="s">
        <v>60</v>
      </c>
      <c r="B28" s="9" t="s">
        <v>61</v>
      </c>
      <c r="C28" s="10" t="s">
        <v>23</v>
      </c>
      <c r="D28" s="11">
        <v>46243</v>
      </c>
      <c r="E28" s="11">
        <v>46244</v>
      </c>
      <c r="F28" s="8" t="s">
        <v>19</v>
      </c>
      <c r="G28" s="12">
        <f>E28-D28+1</f>
        <v>2</v>
      </c>
      <c r="H28" s="13" t="s">
        <v>62</v>
      </c>
    </row>
    <row r="29" spans="1:8" ht="19.95" customHeight="1">
      <c r="A29" s="14" t="s">
        <v>63</v>
      </c>
      <c r="B29" s="15" t="s">
        <v>64</v>
      </c>
      <c r="C29" s="16" t="s">
        <v>27</v>
      </c>
      <c r="D29" s="17">
        <v>46244</v>
      </c>
      <c r="E29" s="17">
        <v>46245</v>
      </c>
      <c r="F29" s="14" t="s">
        <v>19</v>
      </c>
      <c r="G29" s="18">
        <f>E29-D29+1</f>
        <v>2</v>
      </c>
      <c r="H29" s="19" t="s">
        <v>65</v>
      </c>
    </row>
    <row r="30" spans="1:8" ht="19.95" customHeight="1">
      <c r="A30" s="23" t="s">
        <v>66</v>
      </c>
      <c r="B30" s="24"/>
      <c r="C30" s="24"/>
      <c r="D30" s="24"/>
      <c r="E30" s="24"/>
      <c r="F30" s="24"/>
      <c r="G30" s="24"/>
      <c r="H30" s="24"/>
    </row>
    <row r="31" spans="1:8" ht="19.95" customHeight="1">
      <c r="A31" s="14" t="s">
        <v>67</v>
      </c>
      <c r="B31" s="15" t="s">
        <v>68</v>
      </c>
      <c r="C31" s="16" t="s">
        <v>23</v>
      </c>
      <c r="D31" s="17">
        <v>46246</v>
      </c>
      <c r="E31" s="17">
        <v>46247</v>
      </c>
      <c r="F31" s="14" t="s">
        <v>69</v>
      </c>
      <c r="G31" s="18">
        <f>E31-D31+1</f>
        <v>2</v>
      </c>
      <c r="H31" s="19" t="s">
        <v>70</v>
      </c>
    </row>
    <row r="32" spans="1:8" ht="19.95" customHeight="1">
      <c r="A32" s="8" t="s">
        <v>71</v>
      </c>
      <c r="B32" s="9" t="s">
        <v>72</v>
      </c>
      <c r="C32" s="10" t="s">
        <v>18</v>
      </c>
      <c r="D32" s="11">
        <v>46247</v>
      </c>
      <c r="E32" s="11">
        <v>46248</v>
      </c>
      <c r="F32" s="8" t="s">
        <v>69</v>
      </c>
      <c r="G32" s="12">
        <f>E32-D32+1</f>
        <v>2</v>
      </c>
      <c r="H32" s="13" t="s">
        <v>73</v>
      </c>
    </row>
    <row r="33" spans="1:8" ht="19.95" customHeight="1">
      <c r="A33" s="14" t="s">
        <v>74</v>
      </c>
      <c r="B33" s="15" t="s">
        <v>75</v>
      </c>
      <c r="C33" s="16" t="s">
        <v>27</v>
      </c>
      <c r="D33" s="17">
        <v>46248</v>
      </c>
      <c r="E33" s="17">
        <v>46250</v>
      </c>
      <c r="F33" s="14" t="s">
        <v>76</v>
      </c>
      <c r="G33" s="18">
        <f>E33-D33+1</f>
        <v>3</v>
      </c>
      <c r="H33" s="19" t="s">
        <v>77</v>
      </c>
    </row>
    <row r="34" spans="1:8" ht="22.05" customHeight="1">
      <c r="A34" s="20" t="s">
        <v>78</v>
      </c>
      <c r="B34" s="25" t="s">
        <v>79</v>
      </c>
      <c r="C34" s="26"/>
      <c r="D34" s="26"/>
      <c r="E34" s="26"/>
      <c r="F34" s="26"/>
      <c r="G34" s="21">
        <f>MAX(E11:E33)-MIN(D11:D33)+1</f>
        <v>27</v>
      </c>
      <c r="H34" s="22" t="s">
        <v>80</v>
      </c>
    </row>
  </sheetData>
  <mergeCells count="9">
    <mergeCell ref="A11:H11"/>
    <mergeCell ref="A5:H5"/>
    <mergeCell ref="A1:H2"/>
    <mergeCell ref="A22:H22"/>
    <mergeCell ref="A18:H18"/>
    <mergeCell ref="A26:H26"/>
    <mergeCell ref="A30:H30"/>
    <mergeCell ref="A15:H15"/>
    <mergeCell ref="B34:F34"/>
  </mergeCells>
  <conditionalFormatting sqref="F11:F33">
    <cfRule type="cellIs" dxfId="2" priority="1" stopIfTrue="1" operator="equal">
      <formula>"Completado"</formula>
    </cfRule>
    <cfRule type="cellIs" dxfId="1" priority="2" stopIfTrue="1" operator="equal">
      <formula>"En Progreso"</formula>
    </cfRule>
    <cfRule type="cellIs" dxfId="0" priority="3" stopIfTrue="1" operator="equal">
      <formula>"Bloqueado"</formula>
    </cfRule>
  </conditionalFormatting>
  <dataValidations count="1">
    <dataValidation type="list" allowBlank="1" errorTitle="Estado Inválido" error="Tu estado no está en la lista" promptTitle="Estado de Tarea" prompt="Selecciona un estado de la lista" sqref="F12 F13 F14 F16 F17 F19 F20 F21 F23 F24 F25 F27 F28 F29 F31 F32 F33" xr:uid="{00000000-0002-0000-0000-000000000000}">
      <formula1>"Por Empezar,En Progreso,Completado,Bloqueado"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alfredo juarez espinoza</cp:lastModifiedBy>
  <dcterms:created xsi:type="dcterms:W3CDTF">2026-08-13T05:02:04Z</dcterms:created>
  <dcterms:modified xsi:type="dcterms:W3CDTF">2026-08-13T05:05:43Z</dcterms:modified>
</cp:coreProperties>
</file>